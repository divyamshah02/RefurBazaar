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Y:\RefurBazaar\Listing\"/>
    </mc:Choice>
  </mc:AlternateContent>
  <bookViews>
    <workbookView xWindow="-120" yWindow="-120" windowWidth="29040" windowHeight="15720"/>
  </bookViews>
  <sheets>
    <sheet name="Sheet1" sheetId="1" r:id="rId1"/>
  </sheets>
  <calcPr calcId="152511"/>
</workbook>
</file>

<file path=xl/calcChain.xml><?xml version="1.0" encoding="utf-8"?>
<calcChain xmlns="http://schemas.openxmlformats.org/spreadsheetml/2006/main">
  <c r="M31" i="1" l="1"/>
  <c r="M30" i="1"/>
  <c r="M29" i="1"/>
  <c r="M28" i="1"/>
  <c r="M27" i="1"/>
  <c r="M26" i="1"/>
  <c r="M23" i="1"/>
  <c r="M22" i="1"/>
  <c r="M21" i="1"/>
  <c r="M20" i="1"/>
  <c r="M19" i="1"/>
  <c r="M18" i="1"/>
  <c r="M15" i="1"/>
  <c r="M14" i="1"/>
  <c r="M13" i="1"/>
  <c r="M12" i="1"/>
  <c r="M11" i="1"/>
  <c r="M10" i="1"/>
  <c r="M4" i="1"/>
  <c r="M5" i="1"/>
  <c r="M6" i="1"/>
  <c r="M7" i="1"/>
  <c r="M3" i="1"/>
</calcChain>
</file>

<file path=xl/sharedStrings.xml><?xml version="1.0" encoding="utf-8"?>
<sst xmlns="http://schemas.openxmlformats.org/spreadsheetml/2006/main" count="297" uniqueCount="72">
  <si>
    <t>id</t>
  </si>
  <si>
    <t>row_type</t>
  </si>
  <si>
    <t>category</t>
  </si>
  <si>
    <t>brand</t>
  </si>
  <si>
    <t>model_name</t>
  </si>
  <si>
    <t>processor</t>
  </si>
  <si>
    <t>generation</t>
  </si>
  <si>
    <t>os</t>
  </si>
  <si>
    <t>ram</t>
  </si>
  <si>
    <t>storage</t>
  </si>
  <si>
    <t>color</t>
  </si>
  <si>
    <t>screen_size</t>
  </si>
  <si>
    <t>touch</t>
  </si>
  <si>
    <t>accessories</t>
  </si>
  <si>
    <t>description</t>
  </si>
  <si>
    <t>META</t>
  </si>
  <si>
    <t>ATTR</t>
  </si>
  <si>
    <t>Laptop</t>
  </si>
  <si>
    <t>Mobile</t>
  </si>
  <si>
    <t>Tablet</t>
  </si>
  <si>
    <t>Dell</t>
  </si>
  <si>
    <t>Apple</t>
  </si>
  <si>
    <t>Samsung</t>
  </si>
  <si>
    <t>Latitude E5490 i7</t>
  </si>
  <si>
    <t>iPhone 16 Pro</t>
  </si>
  <si>
    <t>Galaxy Tab S9 Ultra</t>
  </si>
  <si>
    <t>Intel Core i7</t>
  </si>
  <si>
    <t>A18 Pro</t>
  </si>
  <si>
    <t>Snapdragon 8 Gen 2</t>
  </si>
  <si>
    <t>8th Gen</t>
  </si>
  <si>
    <t>Windows 11 Pro</t>
  </si>
  <si>
    <t>iOS 18</t>
  </si>
  <si>
    <t>Android 14</t>
  </si>
  <si>
    <t>8 GB</t>
  </si>
  <si>
    <t>16 GB</t>
  </si>
  <si>
    <t>32 GB</t>
  </si>
  <si>
    <t>12 GB</t>
  </si>
  <si>
    <t>256 GB SSD</t>
  </si>
  <si>
    <t>512 GB SSD</t>
  </si>
  <si>
    <t>1 TB SSD</t>
  </si>
  <si>
    <t>256 GB</t>
  </si>
  <si>
    <t>512 GB</t>
  </si>
  <si>
    <t>Grey</t>
  </si>
  <si>
    <t>Silver</t>
  </si>
  <si>
    <t>Black</t>
  </si>
  <si>
    <t>Beige</t>
  </si>
  <si>
    <t>Graphite</t>
  </si>
  <si>
    <t>129999</t>
  </si>
  <si>
    <t>149999</t>
  </si>
  <si>
    <t>119999</t>
  </si>
  <si>
    <t>14 inch</t>
  </si>
  <si>
    <t>6.7-inch</t>
  </si>
  <si>
    <t>14.6-inch</t>
  </si>
  <si>
    <t>Non-Touch</t>
  </si>
  <si>
    <t>Touch</t>
  </si>
  <si>
    <t>Keyboard + Mouse</t>
  </si>
  <si>
    <t>Charger + Cable</t>
  </si>
  <si>
    <t>S-Pen Included</t>
  </si>
  <si>
    <t>Dell business laptop with strong build and long battery life.</t>
  </si>
  <si>
    <t>Apple flagship smartphone powered by A18 Pro chip.</t>
  </si>
  <si>
    <t>Samsung’s flagship tablet designed for productivity and entertainment.</t>
  </si>
  <si>
    <t>price_excl_gst</t>
  </si>
  <si>
    <t>Grade</t>
  </si>
  <si>
    <t>B</t>
  </si>
  <si>
    <t>Latitude E7400 i7</t>
  </si>
  <si>
    <t>Latitude E7450 i7</t>
  </si>
  <si>
    <t>Intel Core i5</t>
  </si>
  <si>
    <t>5th Gen</t>
  </si>
  <si>
    <t>A</t>
  </si>
  <si>
    <t>Latitude E5480 i5</t>
  </si>
  <si>
    <t>7th Gen</t>
  </si>
  <si>
    <t>Final price incl tax + warranty + Logi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</si>
</sst>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1" fontId="0" fillId="0" borderId="0" xfId="0" applyNumberFormat="1" applyAlignment="1">
      <alignment horizontal="center"/>
    </xf>
    <xf numFmtId="0" fontId="1" fillId="2" borderId="1" xfId="0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activeCell="O1" sqref="N1:O1048576"/>
    </sheetView>
  </sheetViews>
  <sheetFormatPr defaultRowHeight="15" x14ac:dyDescent="0.25"/>
  <cols>
    <col min="1" max="1" width="2.7109375" bestFit="1" customWidth="1"/>
    <col min="2" max="2" width="9.42578125" bestFit="1" customWidth="1"/>
    <col min="3" max="3" width="8.5703125" bestFit="1" customWidth="1"/>
    <col min="4" max="4" width="8.85546875" bestFit="1" customWidth="1"/>
    <col min="5" max="5" width="17.85546875" bestFit="1" customWidth="1"/>
    <col min="6" max="6" width="18.5703125" bestFit="1" customWidth="1"/>
    <col min="7" max="7" width="10.7109375" bestFit="1" customWidth="1"/>
    <col min="8" max="8" width="15.28515625" bestFit="1" customWidth="1"/>
    <col min="9" max="9" width="5.85546875" bestFit="1" customWidth="1"/>
    <col min="10" max="10" width="10.5703125" bestFit="1" customWidth="1"/>
    <col min="11" max="11" width="8.7109375" bestFit="1" customWidth="1"/>
    <col min="12" max="12" width="13.28515625" style="2" bestFit="1" customWidth="1"/>
    <col min="13" max="13" width="32.7109375" style="2" bestFit="1" customWidth="1"/>
    <col min="14" max="14" width="11.28515625" bestFit="1" customWidth="1"/>
    <col min="15" max="15" width="10.7109375" bestFit="1" customWidth="1"/>
    <col min="16" max="16" width="17.5703125" bestFit="1" customWidth="1"/>
    <col min="17" max="17" width="17.5703125" customWidth="1"/>
    <col min="18" max="18" width="65.710937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61</v>
      </c>
      <c r="M1" s="6" t="s">
        <v>71</v>
      </c>
      <c r="N1" s="1" t="s">
        <v>11</v>
      </c>
      <c r="O1" s="1" t="s">
        <v>12</v>
      </c>
      <c r="P1" s="1" t="s">
        <v>13</v>
      </c>
      <c r="Q1" s="1" t="s">
        <v>62</v>
      </c>
      <c r="R1" s="1" t="s">
        <v>14</v>
      </c>
    </row>
    <row r="2" spans="1:18" x14ac:dyDescent="0.25">
      <c r="A2">
        <v>1</v>
      </c>
      <c r="B2" t="s">
        <v>15</v>
      </c>
      <c r="C2" t="s">
        <v>17</v>
      </c>
      <c r="D2" t="s">
        <v>20</v>
      </c>
      <c r="E2" t="s">
        <v>23</v>
      </c>
      <c r="F2" t="s">
        <v>26</v>
      </c>
      <c r="G2" t="s">
        <v>29</v>
      </c>
      <c r="H2" t="s">
        <v>30</v>
      </c>
      <c r="N2" t="s">
        <v>50</v>
      </c>
      <c r="O2" t="s">
        <v>53</v>
      </c>
      <c r="P2" t="s">
        <v>55</v>
      </c>
      <c r="R2" t="s">
        <v>58</v>
      </c>
    </row>
    <row r="3" spans="1:18" x14ac:dyDescent="0.25">
      <c r="A3">
        <v>1</v>
      </c>
      <c r="B3" t="s">
        <v>16</v>
      </c>
      <c r="C3" t="s">
        <v>17</v>
      </c>
      <c r="D3" t="s">
        <v>20</v>
      </c>
      <c r="E3" t="s">
        <v>23</v>
      </c>
      <c r="I3" t="s">
        <v>33</v>
      </c>
      <c r="J3" t="s">
        <v>37</v>
      </c>
      <c r="K3" t="s">
        <v>42</v>
      </c>
      <c r="L3" s="2">
        <v>19500</v>
      </c>
      <c r="M3" s="5">
        <f>(L3*1.18)*1.03+500</f>
        <v>24200.3</v>
      </c>
      <c r="Q3" t="s">
        <v>63</v>
      </c>
    </row>
    <row r="4" spans="1:18" x14ac:dyDescent="0.25">
      <c r="A4">
        <v>1</v>
      </c>
      <c r="B4" t="s">
        <v>16</v>
      </c>
      <c r="C4" t="s">
        <v>17</v>
      </c>
      <c r="D4" t="s">
        <v>20</v>
      </c>
      <c r="E4" t="s">
        <v>23</v>
      </c>
      <c r="I4" t="s">
        <v>33</v>
      </c>
      <c r="J4" t="s">
        <v>38</v>
      </c>
      <c r="K4" t="s">
        <v>42</v>
      </c>
      <c r="L4" s="2">
        <v>21500</v>
      </c>
      <c r="M4" s="5">
        <f t="shared" ref="M4:M7" si="0">(L4*1.18)*1.03+500</f>
        <v>26631.100000000002</v>
      </c>
      <c r="Q4" t="s">
        <v>63</v>
      </c>
    </row>
    <row r="5" spans="1:18" x14ac:dyDescent="0.25">
      <c r="A5">
        <v>1</v>
      </c>
      <c r="B5" t="s">
        <v>16</v>
      </c>
      <c r="C5" t="s">
        <v>17</v>
      </c>
      <c r="D5" t="s">
        <v>20</v>
      </c>
      <c r="E5" t="s">
        <v>23</v>
      </c>
      <c r="I5" t="s">
        <v>33</v>
      </c>
      <c r="J5" t="s">
        <v>39</v>
      </c>
      <c r="K5" t="s">
        <v>42</v>
      </c>
      <c r="L5" s="2">
        <v>24000</v>
      </c>
      <c r="M5" s="5">
        <f t="shared" si="0"/>
        <v>29669.600000000002</v>
      </c>
      <c r="Q5" t="s">
        <v>63</v>
      </c>
    </row>
    <row r="6" spans="1:18" x14ac:dyDescent="0.25">
      <c r="A6">
        <v>1</v>
      </c>
      <c r="B6" t="s">
        <v>16</v>
      </c>
      <c r="C6" t="s">
        <v>17</v>
      </c>
      <c r="D6" t="s">
        <v>20</v>
      </c>
      <c r="E6" t="s">
        <v>23</v>
      </c>
      <c r="I6" t="s">
        <v>34</v>
      </c>
      <c r="J6" t="s">
        <v>37</v>
      </c>
      <c r="K6" t="s">
        <v>42</v>
      </c>
      <c r="L6" s="2">
        <v>20500</v>
      </c>
      <c r="M6" s="5">
        <f t="shared" si="0"/>
        <v>25415.7</v>
      </c>
      <c r="Q6" t="s">
        <v>63</v>
      </c>
    </row>
    <row r="7" spans="1:18" x14ac:dyDescent="0.25">
      <c r="A7">
        <v>1</v>
      </c>
      <c r="B7" t="s">
        <v>16</v>
      </c>
      <c r="C7" t="s">
        <v>17</v>
      </c>
      <c r="D7" t="s">
        <v>20</v>
      </c>
      <c r="E7" t="s">
        <v>23</v>
      </c>
      <c r="I7" t="s">
        <v>35</v>
      </c>
      <c r="J7" t="s">
        <v>37</v>
      </c>
      <c r="K7" t="s">
        <v>42</v>
      </c>
      <c r="L7" s="2">
        <v>23000</v>
      </c>
      <c r="M7" s="5">
        <f t="shared" si="0"/>
        <v>28454.2</v>
      </c>
      <c r="Q7" t="s">
        <v>63</v>
      </c>
    </row>
    <row r="9" spans="1:18" x14ac:dyDescent="0.25">
      <c r="A9">
        <v>2</v>
      </c>
      <c r="B9" t="s">
        <v>15</v>
      </c>
      <c r="C9" t="s">
        <v>17</v>
      </c>
      <c r="D9" t="s">
        <v>20</v>
      </c>
      <c r="E9" t="s">
        <v>64</v>
      </c>
      <c r="F9" t="s">
        <v>26</v>
      </c>
      <c r="G9" t="s">
        <v>29</v>
      </c>
      <c r="H9" t="s">
        <v>30</v>
      </c>
      <c r="N9" t="s">
        <v>50</v>
      </c>
      <c r="O9" t="s">
        <v>53</v>
      </c>
      <c r="P9" t="s">
        <v>55</v>
      </c>
      <c r="R9" t="s">
        <v>58</v>
      </c>
    </row>
    <row r="10" spans="1:18" x14ac:dyDescent="0.25">
      <c r="A10">
        <v>2</v>
      </c>
      <c r="B10" t="s">
        <v>16</v>
      </c>
      <c r="C10" t="s">
        <v>17</v>
      </c>
      <c r="D10" t="s">
        <v>20</v>
      </c>
      <c r="E10" t="s">
        <v>64</v>
      </c>
      <c r="I10" t="s">
        <v>33</v>
      </c>
      <c r="J10" t="s">
        <v>37</v>
      </c>
      <c r="K10" t="s">
        <v>42</v>
      </c>
      <c r="L10" s="2">
        <v>21000</v>
      </c>
      <c r="M10" s="5">
        <f t="shared" ref="M10:M15" si="1">(L10*1.18)*1.03+500</f>
        <v>26023.4</v>
      </c>
      <c r="Q10" t="s">
        <v>68</v>
      </c>
    </row>
    <row r="11" spans="1:18" x14ac:dyDescent="0.25">
      <c r="A11">
        <v>2</v>
      </c>
      <c r="B11" t="s">
        <v>16</v>
      </c>
      <c r="C11" t="s">
        <v>17</v>
      </c>
      <c r="D11" t="s">
        <v>20</v>
      </c>
      <c r="E11" t="s">
        <v>64</v>
      </c>
      <c r="I11" t="s">
        <v>33</v>
      </c>
      <c r="J11" t="s">
        <v>38</v>
      </c>
      <c r="K11" t="s">
        <v>42</v>
      </c>
      <c r="L11" s="2">
        <v>22500</v>
      </c>
      <c r="M11" s="5">
        <f t="shared" si="1"/>
        <v>27846.5</v>
      </c>
      <c r="Q11" t="s">
        <v>68</v>
      </c>
    </row>
    <row r="12" spans="1:18" x14ac:dyDescent="0.25">
      <c r="A12">
        <v>2</v>
      </c>
      <c r="B12" t="s">
        <v>16</v>
      </c>
      <c r="C12" t="s">
        <v>17</v>
      </c>
      <c r="D12" t="s">
        <v>20</v>
      </c>
      <c r="E12" t="s">
        <v>64</v>
      </c>
      <c r="I12" t="s">
        <v>33</v>
      </c>
      <c r="J12" t="s">
        <v>39</v>
      </c>
      <c r="K12" t="s">
        <v>42</v>
      </c>
      <c r="L12" s="2">
        <v>26000</v>
      </c>
      <c r="M12" s="5">
        <f t="shared" si="1"/>
        <v>32100.400000000001</v>
      </c>
      <c r="Q12" t="s">
        <v>68</v>
      </c>
    </row>
    <row r="13" spans="1:18" x14ac:dyDescent="0.25">
      <c r="A13">
        <v>2</v>
      </c>
      <c r="B13" t="s">
        <v>16</v>
      </c>
      <c r="C13" t="s">
        <v>17</v>
      </c>
      <c r="D13" t="s">
        <v>20</v>
      </c>
      <c r="E13" t="s">
        <v>64</v>
      </c>
      <c r="I13" t="s">
        <v>33</v>
      </c>
      <c r="J13" t="s">
        <v>37</v>
      </c>
      <c r="K13" t="s">
        <v>42</v>
      </c>
      <c r="L13" s="2">
        <v>21000</v>
      </c>
      <c r="M13" s="5">
        <f t="shared" si="1"/>
        <v>26023.4</v>
      </c>
      <c r="Q13" t="s">
        <v>68</v>
      </c>
    </row>
    <row r="14" spans="1:18" x14ac:dyDescent="0.25">
      <c r="A14">
        <v>2</v>
      </c>
      <c r="B14" t="s">
        <v>16</v>
      </c>
      <c r="C14" t="s">
        <v>17</v>
      </c>
      <c r="D14" t="s">
        <v>20</v>
      </c>
      <c r="E14" t="s">
        <v>64</v>
      </c>
      <c r="I14" t="s">
        <v>34</v>
      </c>
      <c r="J14" t="s">
        <v>37</v>
      </c>
      <c r="K14" t="s">
        <v>42</v>
      </c>
      <c r="L14" s="2">
        <v>22500</v>
      </c>
      <c r="M14" s="5">
        <f t="shared" si="1"/>
        <v>27846.5</v>
      </c>
      <c r="Q14" t="s">
        <v>68</v>
      </c>
    </row>
    <row r="15" spans="1:18" x14ac:dyDescent="0.25">
      <c r="A15">
        <v>2</v>
      </c>
      <c r="B15" t="s">
        <v>16</v>
      </c>
      <c r="C15" t="s">
        <v>17</v>
      </c>
      <c r="D15" t="s">
        <v>20</v>
      </c>
      <c r="E15" t="s">
        <v>64</v>
      </c>
      <c r="I15" t="s">
        <v>35</v>
      </c>
      <c r="J15" t="s">
        <v>37</v>
      </c>
      <c r="K15" t="s">
        <v>42</v>
      </c>
      <c r="L15" s="2">
        <v>24500</v>
      </c>
      <c r="M15" s="5">
        <f t="shared" si="1"/>
        <v>30277.3</v>
      </c>
      <c r="Q15" t="s">
        <v>68</v>
      </c>
    </row>
    <row r="17" spans="1:18" x14ac:dyDescent="0.25">
      <c r="A17">
        <v>2</v>
      </c>
      <c r="B17" t="s">
        <v>15</v>
      </c>
      <c r="C17" t="s">
        <v>17</v>
      </c>
      <c r="D17" t="s">
        <v>20</v>
      </c>
      <c r="E17" t="s">
        <v>65</v>
      </c>
      <c r="F17" t="s">
        <v>66</v>
      </c>
      <c r="G17" t="s">
        <v>67</v>
      </c>
      <c r="H17" t="s">
        <v>30</v>
      </c>
      <c r="N17" t="s">
        <v>50</v>
      </c>
      <c r="O17" t="s">
        <v>53</v>
      </c>
      <c r="P17" t="s">
        <v>55</v>
      </c>
      <c r="R17" t="s">
        <v>58</v>
      </c>
    </row>
    <row r="18" spans="1:18" x14ac:dyDescent="0.25">
      <c r="A18">
        <v>2</v>
      </c>
      <c r="B18" t="s">
        <v>16</v>
      </c>
      <c r="C18" t="s">
        <v>17</v>
      </c>
      <c r="D18" t="s">
        <v>20</v>
      </c>
      <c r="E18" t="s">
        <v>65</v>
      </c>
      <c r="I18" t="s">
        <v>33</v>
      </c>
      <c r="J18" t="s">
        <v>37</v>
      </c>
      <c r="K18" t="s">
        <v>42</v>
      </c>
      <c r="L18" s="2">
        <v>14000</v>
      </c>
      <c r="M18" s="5">
        <f t="shared" ref="M18:M23" si="2">(L18*1.18)*1.03+500</f>
        <v>17515.600000000002</v>
      </c>
      <c r="Q18" t="s">
        <v>68</v>
      </c>
    </row>
    <row r="19" spans="1:18" x14ac:dyDescent="0.25">
      <c r="A19">
        <v>2</v>
      </c>
      <c r="B19" t="s">
        <v>16</v>
      </c>
      <c r="C19" t="s">
        <v>17</v>
      </c>
      <c r="D19" t="s">
        <v>20</v>
      </c>
      <c r="E19" t="s">
        <v>65</v>
      </c>
      <c r="I19" t="s">
        <v>33</v>
      </c>
      <c r="J19" t="s">
        <v>38</v>
      </c>
      <c r="K19" t="s">
        <v>42</v>
      </c>
      <c r="L19" s="2">
        <v>16500</v>
      </c>
      <c r="M19" s="5">
        <f t="shared" si="2"/>
        <v>20554.100000000002</v>
      </c>
      <c r="Q19" t="s">
        <v>68</v>
      </c>
    </row>
    <row r="20" spans="1:18" x14ac:dyDescent="0.25">
      <c r="A20">
        <v>2</v>
      </c>
      <c r="B20" t="s">
        <v>16</v>
      </c>
      <c r="C20" t="s">
        <v>17</v>
      </c>
      <c r="D20" t="s">
        <v>20</v>
      </c>
      <c r="E20" t="s">
        <v>65</v>
      </c>
      <c r="I20" t="s">
        <v>33</v>
      </c>
      <c r="J20" t="s">
        <v>39</v>
      </c>
      <c r="K20" t="s">
        <v>42</v>
      </c>
      <c r="L20" s="2">
        <v>19500</v>
      </c>
      <c r="M20" s="5">
        <f t="shared" si="2"/>
        <v>24200.3</v>
      </c>
      <c r="Q20" t="s">
        <v>68</v>
      </c>
    </row>
    <row r="21" spans="1:18" x14ac:dyDescent="0.25">
      <c r="A21">
        <v>2</v>
      </c>
      <c r="B21" t="s">
        <v>16</v>
      </c>
      <c r="C21" t="s">
        <v>17</v>
      </c>
      <c r="D21" t="s">
        <v>20</v>
      </c>
      <c r="E21" t="s">
        <v>65</v>
      </c>
      <c r="I21" t="s">
        <v>33</v>
      </c>
      <c r="J21" t="s">
        <v>37</v>
      </c>
      <c r="K21" t="s">
        <v>42</v>
      </c>
      <c r="L21" s="2">
        <v>14000</v>
      </c>
      <c r="M21" s="5">
        <f t="shared" si="2"/>
        <v>17515.600000000002</v>
      </c>
      <c r="Q21" t="s">
        <v>68</v>
      </c>
    </row>
    <row r="22" spans="1:18" x14ac:dyDescent="0.25">
      <c r="A22">
        <v>2</v>
      </c>
      <c r="B22" t="s">
        <v>16</v>
      </c>
      <c r="C22" t="s">
        <v>17</v>
      </c>
      <c r="D22" t="s">
        <v>20</v>
      </c>
      <c r="E22" t="s">
        <v>65</v>
      </c>
      <c r="I22" t="s">
        <v>34</v>
      </c>
      <c r="J22" t="s">
        <v>37</v>
      </c>
      <c r="K22" t="s">
        <v>42</v>
      </c>
      <c r="L22" s="2">
        <v>15500</v>
      </c>
      <c r="M22" s="5">
        <f t="shared" si="2"/>
        <v>19338.7</v>
      </c>
      <c r="Q22" t="s">
        <v>68</v>
      </c>
    </row>
    <row r="23" spans="1:18" x14ac:dyDescent="0.25">
      <c r="A23">
        <v>2</v>
      </c>
      <c r="B23" t="s">
        <v>16</v>
      </c>
      <c r="C23" t="s">
        <v>17</v>
      </c>
      <c r="D23" t="s">
        <v>20</v>
      </c>
      <c r="E23" t="s">
        <v>65</v>
      </c>
      <c r="I23" t="s">
        <v>35</v>
      </c>
      <c r="J23" t="s">
        <v>37</v>
      </c>
      <c r="K23" t="s">
        <v>42</v>
      </c>
      <c r="L23" s="2">
        <v>18500</v>
      </c>
      <c r="M23" s="5">
        <f t="shared" si="2"/>
        <v>22984.9</v>
      </c>
      <c r="Q23" t="s">
        <v>68</v>
      </c>
    </row>
    <row r="25" spans="1:18" x14ac:dyDescent="0.25">
      <c r="A25">
        <v>2</v>
      </c>
      <c r="B25" t="s">
        <v>15</v>
      </c>
      <c r="C25" t="s">
        <v>17</v>
      </c>
      <c r="D25" t="s">
        <v>20</v>
      </c>
      <c r="E25" t="s">
        <v>69</v>
      </c>
      <c r="F25" t="s">
        <v>66</v>
      </c>
      <c r="G25" t="s">
        <v>70</v>
      </c>
      <c r="H25" t="s">
        <v>30</v>
      </c>
      <c r="N25" t="s">
        <v>50</v>
      </c>
      <c r="O25" t="s">
        <v>53</v>
      </c>
      <c r="P25" t="s">
        <v>55</v>
      </c>
      <c r="R25" t="s">
        <v>58</v>
      </c>
    </row>
    <row r="26" spans="1:18" x14ac:dyDescent="0.25">
      <c r="A26">
        <v>2</v>
      </c>
      <c r="B26" t="s">
        <v>16</v>
      </c>
      <c r="C26" t="s">
        <v>17</v>
      </c>
      <c r="D26" t="s">
        <v>20</v>
      </c>
      <c r="E26" t="s">
        <v>69</v>
      </c>
      <c r="I26" t="s">
        <v>33</v>
      </c>
      <c r="J26" t="s">
        <v>37</v>
      </c>
      <c r="K26" t="s">
        <v>42</v>
      </c>
      <c r="L26" s="2">
        <v>15500</v>
      </c>
      <c r="M26" s="5">
        <f t="shared" ref="M26:M31" si="3">(L26*1.18)*1.03+500</f>
        <v>19338.7</v>
      </c>
      <c r="Q26" t="s">
        <v>68</v>
      </c>
    </row>
    <row r="27" spans="1:18" x14ac:dyDescent="0.25">
      <c r="A27">
        <v>2</v>
      </c>
      <c r="B27" t="s">
        <v>16</v>
      </c>
      <c r="C27" t="s">
        <v>17</v>
      </c>
      <c r="D27" t="s">
        <v>20</v>
      </c>
      <c r="E27" t="s">
        <v>69</v>
      </c>
      <c r="I27" t="s">
        <v>33</v>
      </c>
      <c r="J27" t="s">
        <v>38</v>
      </c>
      <c r="K27" t="s">
        <v>42</v>
      </c>
      <c r="L27" s="2">
        <v>17500</v>
      </c>
      <c r="M27" s="5">
        <f t="shared" si="3"/>
        <v>21769.5</v>
      </c>
      <c r="Q27" t="s">
        <v>68</v>
      </c>
    </row>
    <row r="28" spans="1:18" x14ac:dyDescent="0.25">
      <c r="A28">
        <v>2</v>
      </c>
      <c r="B28" t="s">
        <v>16</v>
      </c>
      <c r="C28" t="s">
        <v>17</v>
      </c>
      <c r="D28" t="s">
        <v>20</v>
      </c>
      <c r="E28" t="s">
        <v>69</v>
      </c>
      <c r="I28" t="s">
        <v>33</v>
      </c>
      <c r="J28" t="s">
        <v>39</v>
      </c>
      <c r="K28" t="s">
        <v>42</v>
      </c>
      <c r="L28" s="2">
        <v>20000</v>
      </c>
      <c r="M28" s="5">
        <f t="shared" si="3"/>
        <v>24808</v>
      </c>
      <c r="Q28" t="s">
        <v>68</v>
      </c>
    </row>
    <row r="29" spans="1:18" x14ac:dyDescent="0.25">
      <c r="A29">
        <v>2</v>
      </c>
      <c r="B29" t="s">
        <v>16</v>
      </c>
      <c r="C29" t="s">
        <v>17</v>
      </c>
      <c r="D29" t="s">
        <v>20</v>
      </c>
      <c r="E29" t="s">
        <v>69</v>
      </c>
      <c r="I29" t="s">
        <v>33</v>
      </c>
      <c r="J29" t="s">
        <v>37</v>
      </c>
      <c r="K29" t="s">
        <v>42</v>
      </c>
      <c r="L29" s="2">
        <v>15500</v>
      </c>
      <c r="M29" s="5">
        <f t="shared" si="3"/>
        <v>19338.7</v>
      </c>
      <c r="Q29" t="s">
        <v>68</v>
      </c>
    </row>
    <row r="30" spans="1:18" x14ac:dyDescent="0.25">
      <c r="A30">
        <v>2</v>
      </c>
      <c r="B30" t="s">
        <v>16</v>
      </c>
      <c r="C30" t="s">
        <v>17</v>
      </c>
      <c r="D30" t="s">
        <v>20</v>
      </c>
      <c r="E30" t="s">
        <v>69</v>
      </c>
      <c r="I30" t="s">
        <v>34</v>
      </c>
      <c r="J30" t="s">
        <v>37</v>
      </c>
      <c r="K30" t="s">
        <v>42</v>
      </c>
      <c r="L30" s="2">
        <v>16500</v>
      </c>
      <c r="M30" s="5">
        <f t="shared" si="3"/>
        <v>20554.100000000002</v>
      </c>
      <c r="Q30" t="s">
        <v>68</v>
      </c>
    </row>
    <row r="31" spans="1:18" x14ac:dyDescent="0.25">
      <c r="A31">
        <v>2</v>
      </c>
      <c r="B31" t="s">
        <v>16</v>
      </c>
      <c r="C31" t="s">
        <v>17</v>
      </c>
      <c r="D31" t="s">
        <v>20</v>
      </c>
      <c r="E31" t="s">
        <v>69</v>
      </c>
      <c r="I31" t="s">
        <v>35</v>
      </c>
      <c r="J31" t="s">
        <v>37</v>
      </c>
      <c r="K31" t="s">
        <v>42</v>
      </c>
      <c r="L31" s="2">
        <v>18000</v>
      </c>
      <c r="M31" s="5">
        <f t="shared" si="3"/>
        <v>22377.200000000001</v>
      </c>
      <c r="Q31" t="s">
        <v>68</v>
      </c>
    </row>
    <row r="33" spans="1:18" s="3" customFormat="1" x14ac:dyDescent="0.25">
      <c r="A33" s="3">
        <v>2</v>
      </c>
      <c r="B33" s="3" t="s">
        <v>15</v>
      </c>
      <c r="C33" s="3" t="s">
        <v>18</v>
      </c>
      <c r="D33" s="3" t="s">
        <v>21</v>
      </c>
      <c r="E33" s="3" t="s">
        <v>24</v>
      </c>
      <c r="F33" s="3" t="s">
        <v>27</v>
      </c>
      <c r="H33" s="3" t="s">
        <v>31</v>
      </c>
      <c r="L33" s="4"/>
      <c r="M33" s="4"/>
      <c r="N33" s="3" t="s">
        <v>51</v>
      </c>
      <c r="P33" s="3" t="s">
        <v>56</v>
      </c>
      <c r="R33" s="3" t="s">
        <v>59</v>
      </c>
    </row>
    <row r="34" spans="1:18" s="3" customFormat="1" x14ac:dyDescent="0.25">
      <c r="A34" s="3">
        <v>2</v>
      </c>
      <c r="B34" s="3" t="s">
        <v>16</v>
      </c>
      <c r="C34" s="3" t="s">
        <v>18</v>
      </c>
      <c r="D34" s="3" t="s">
        <v>21</v>
      </c>
      <c r="E34" s="3" t="s">
        <v>24</v>
      </c>
      <c r="I34" s="3" t="s">
        <v>33</v>
      </c>
      <c r="J34" s="3" t="s">
        <v>40</v>
      </c>
      <c r="K34" s="3" t="s">
        <v>43</v>
      </c>
      <c r="L34" s="4" t="s">
        <v>47</v>
      </c>
      <c r="M34" s="4"/>
    </row>
    <row r="35" spans="1:18" s="3" customFormat="1" x14ac:dyDescent="0.25">
      <c r="A35" s="3">
        <v>2</v>
      </c>
      <c r="B35" s="3" t="s">
        <v>16</v>
      </c>
      <c r="C35" s="3" t="s">
        <v>18</v>
      </c>
      <c r="D35" s="3" t="s">
        <v>21</v>
      </c>
      <c r="E35" s="3" t="s">
        <v>24</v>
      </c>
      <c r="I35" s="3" t="s">
        <v>34</v>
      </c>
      <c r="J35" s="3" t="s">
        <v>41</v>
      </c>
      <c r="K35" s="3" t="s">
        <v>44</v>
      </c>
      <c r="L35" s="4" t="s">
        <v>48</v>
      </c>
      <c r="M35" s="4"/>
    </row>
    <row r="36" spans="1:18" s="3" customFormat="1" x14ac:dyDescent="0.25">
      <c r="A36" s="3">
        <v>3</v>
      </c>
      <c r="B36" s="3" t="s">
        <v>15</v>
      </c>
      <c r="C36" s="3" t="s">
        <v>19</v>
      </c>
      <c r="D36" s="3" t="s">
        <v>22</v>
      </c>
      <c r="E36" s="3" t="s">
        <v>25</v>
      </c>
      <c r="F36" s="3" t="s">
        <v>28</v>
      </c>
      <c r="H36" s="3" t="s">
        <v>32</v>
      </c>
      <c r="L36" s="4"/>
      <c r="M36" s="4"/>
      <c r="N36" s="3" t="s">
        <v>52</v>
      </c>
      <c r="O36" s="3" t="s">
        <v>54</v>
      </c>
      <c r="P36" s="3" t="s">
        <v>57</v>
      </c>
      <c r="R36" s="3" t="s">
        <v>60</v>
      </c>
    </row>
    <row r="37" spans="1:18" s="3" customFormat="1" x14ac:dyDescent="0.25">
      <c r="A37" s="3">
        <v>3</v>
      </c>
      <c r="B37" s="3" t="s">
        <v>16</v>
      </c>
      <c r="C37" s="3" t="s">
        <v>19</v>
      </c>
      <c r="D37" s="3" t="s">
        <v>22</v>
      </c>
      <c r="E37" s="3" t="s">
        <v>25</v>
      </c>
      <c r="I37" s="3" t="s">
        <v>36</v>
      </c>
      <c r="J37" s="3" t="s">
        <v>40</v>
      </c>
      <c r="K37" s="3" t="s">
        <v>45</v>
      </c>
      <c r="L37" s="4" t="s">
        <v>49</v>
      </c>
      <c r="M37" s="4"/>
    </row>
    <row r="38" spans="1:18" s="3" customFormat="1" x14ac:dyDescent="0.25">
      <c r="A38" s="3">
        <v>3</v>
      </c>
      <c r="B38" s="3" t="s">
        <v>16</v>
      </c>
      <c r="C38" s="3" t="s">
        <v>19</v>
      </c>
      <c r="D38" s="3" t="s">
        <v>22</v>
      </c>
      <c r="E38" s="3" t="s">
        <v>25</v>
      </c>
      <c r="I38" s="3" t="s">
        <v>34</v>
      </c>
      <c r="J38" s="3" t="s">
        <v>41</v>
      </c>
      <c r="K38" s="3" t="s">
        <v>46</v>
      </c>
      <c r="L38" s="4" t="s">
        <v>47</v>
      </c>
      <c r="M38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CFO</dc:creator>
  <cp:lastModifiedBy>Eco1</cp:lastModifiedBy>
  <dcterms:created xsi:type="dcterms:W3CDTF">2025-11-08T07:39:22Z</dcterms:created>
  <dcterms:modified xsi:type="dcterms:W3CDTF">2025-11-10T06:53:22Z</dcterms:modified>
</cp:coreProperties>
</file>